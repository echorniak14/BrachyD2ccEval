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hysics\Share\PatientQA\2025 WH HDR Patients\Deirdre Creel\"/>
    </mc:Choice>
  </mc:AlternateContent>
  <xr:revisionPtr revIDLastSave="0" documentId="8_{2D28CD69-FD30-4634-8550-FF8F38B01010}" xr6:coauthVersionLast="47" xr6:coauthVersionMax="47" xr10:uidLastSave="{00000000-0000-0000-0000-000000000000}"/>
  <bookViews>
    <workbookView xWindow="960" yWindow="960" windowWidth="25440" windowHeight="13905" xr2:uid="{00000000-000D-0000-FFFF-FFFF00000000}"/>
  </bookViews>
  <sheets>
    <sheet name="Sheet1" sheetId="1" r:id="rId1"/>
    <sheet name="Sheet3" sheetId="2" r:id="rId2"/>
    <sheet name="Sheet2" sheetId="3" r:id="rId3"/>
  </sheets>
  <definedNames>
    <definedName name="_xlnm.Print_Area" localSheetId="0">Sheet1!$A$1:$G$28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5" i="1"/>
  <c r="F15" i="1"/>
  <c r="E15" i="1"/>
  <c r="D15" i="1"/>
  <c r="C15" i="1"/>
  <c r="B15" i="1"/>
  <c r="C14" i="1"/>
  <c r="G13" i="1"/>
  <c r="F13" i="1"/>
  <c r="E13" i="1"/>
  <c r="D13" i="1"/>
  <c r="C13" i="1"/>
</calcChain>
</file>

<file path=xl/sharedStrings.xml><?xml version="1.0" encoding="utf-8"?>
<sst xmlns="http://schemas.openxmlformats.org/spreadsheetml/2006/main" count="20" uniqueCount="19">
  <si>
    <t>Cylinder Dwell Time Reference Chart</t>
  </si>
  <si>
    <t>Patient Name:</t>
  </si>
  <si>
    <t>CREEL^DEIRDRE^^^</t>
  </si>
  <si>
    <t>MR#:</t>
  </si>
  <si>
    <t>A2514830</t>
  </si>
  <si>
    <t>Cylinder Size:</t>
  </si>
  <si>
    <t>30mm Cylinder</t>
  </si>
  <si>
    <t>Fraction Number</t>
  </si>
  <si>
    <t>Plan</t>
  </si>
  <si>
    <t>Treatment Date and Time:</t>
  </si>
  <si>
    <t>2025-09-12 10:30</t>
  </si>
  <si>
    <t>2025-09-17 10:00</t>
  </si>
  <si>
    <t>2025-09-19 09:30</t>
  </si>
  <si>
    <t>2025-09-22 10:30</t>
  </si>
  <si>
    <t>2025-09-24 10:30</t>
  </si>
  <si>
    <t>Source Activity (Ci):</t>
  </si>
  <si>
    <t>Total Time (sec):</t>
  </si>
  <si>
    <t>Dwell Position / Time:</t>
  </si>
  <si>
    <t>Enter data in green highlighted fields.  All other fields will populate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</si>
</sst>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0"/>
      <name val="Arial"/>
    </font>
    <font>
      <sz val="16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22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0</xdr:row>
      <xdr:rowOff>57150</xdr:rowOff>
    </xdr:from>
    <xdr:to>
      <xdr:col>2</xdr:col>
      <xdr:colOff>790575</xdr:colOff>
      <xdr:row>2</xdr:row>
      <xdr:rowOff>419100</xdr:rowOff>
    </xdr:to>
    <xdr:pic>
      <xdr:nvPicPr>
        <xdr:cNvPr id="1047" name="Picture 3" descr="mbpcc_tm_h_pos_clr_rgb_200722-150px-01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3875" y="57150"/>
          <a:ext cx="2914650" cy="685800"/>
        </a:xfrm>
        <a:prstGeom prst="rect">
          <a:avLst/>
        </a:prstGeom>
        <a:solidFill>
          <a:srgbClr val="FFFFFF"/>
        </a:solidFill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29"/>
  <sheetViews>
    <sheetView tabSelected="1" topLeftCell="A3" zoomScaleNormal="100" workbookViewId="0">
      <selection activeCell="I15" sqref="I15"/>
    </sheetView>
  </sheetViews>
  <sheetFormatPr defaultRowHeight="13.2" x14ac:dyDescent="0.25"/>
  <cols>
    <col min="1" max="1" width="23.109375" customWidth="1"/>
    <col min="2" max="2" width="16.5546875" customWidth="1"/>
    <col min="3" max="3" width="15.5546875" bestFit="1" customWidth="1"/>
    <col min="4" max="4" width="15.33203125" bestFit="1" customWidth="1"/>
    <col min="5" max="6" width="15.33203125" customWidth="1"/>
    <col min="7" max="7" width="14.109375" customWidth="1"/>
  </cols>
  <sheetData>
    <row r="3" spans="1:7" ht="36.75" customHeight="1" x14ac:dyDescent="0.25"/>
    <row r="4" spans="1:7" ht="40.5" customHeight="1" x14ac:dyDescent="0.35">
      <c r="A4" s="9" t="s">
        <v>0</v>
      </c>
      <c r="B4" s="10"/>
      <c r="C4" s="10"/>
      <c r="D4" s="10"/>
    </row>
    <row r="5" spans="1:7" ht="24.75" customHeight="1" x14ac:dyDescent="0.25">
      <c r="A5" s="1" t="s">
        <v>1</v>
      </c>
      <c r="B5" s="3" t="s">
        <v>2</v>
      </c>
    </row>
    <row r="6" spans="1:7" ht="24.75" customHeight="1" x14ac:dyDescent="0.25">
      <c r="A6" s="1" t="s">
        <v>3</v>
      </c>
      <c r="B6" s="3" t="s">
        <v>4</v>
      </c>
    </row>
    <row r="7" spans="1:7" ht="25.5" customHeight="1" x14ac:dyDescent="0.25">
      <c r="A7" s="1" t="s">
        <v>5</v>
      </c>
      <c r="B7" s="3" t="s">
        <v>6</v>
      </c>
    </row>
    <row r="9" spans="1:7" ht="27" customHeight="1" x14ac:dyDescent="0.25">
      <c r="A9" s="1" t="s">
        <v>7</v>
      </c>
      <c r="B9" s="2" t="s">
        <v>8</v>
      </c>
      <c r="C9" s="2">
        <v>1</v>
      </c>
      <c r="D9" s="2">
        <v>2</v>
      </c>
      <c r="E9" s="2">
        <v>3</v>
      </c>
      <c r="F9" s="2">
        <v>4</v>
      </c>
      <c r="G9" s="2">
        <v>5</v>
      </c>
    </row>
    <row r="10" spans="1:7" ht="0.75" customHeight="1" x14ac:dyDescent="0.25">
      <c r="A10" s="1"/>
      <c r="B10" s="1"/>
      <c r="C10" s="1"/>
      <c r="D10" s="1"/>
      <c r="E10" s="1"/>
      <c r="F10" s="1"/>
      <c r="G10" s="1"/>
    </row>
    <row r="11" spans="1:7" ht="24.75" customHeight="1" x14ac:dyDescent="0.25">
      <c r="A11" s="1" t="s">
        <v>9</v>
      </c>
      <c r="B11" s="4" t="s">
        <v>10</v>
      </c>
      <c r="C11" s="4" t="s">
        <v>10</v>
      </c>
      <c r="D11" s="4" t="s">
        <v>11</v>
      </c>
      <c r="E11" s="4" t="s">
        <v>12</v>
      </c>
      <c r="F11" s="4" t="s">
        <v>13</v>
      </c>
      <c r="G11" s="4" t="s">
        <v>14</v>
      </c>
    </row>
    <row r="12" spans="1:7" hidden="1" x14ac:dyDescent="0.25">
      <c r="A12" s="1"/>
      <c r="B12" s="4"/>
      <c r="C12" s="4"/>
      <c r="D12" s="4"/>
      <c r="E12" s="4"/>
      <c r="F12" s="4"/>
      <c r="G12" s="4"/>
    </row>
    <row r="13" spans="1:7" ht="26.25" customHeight="1" x14ac:dyDescent="0.25">
      <c r="A13" s="1" t="s">
        <v>15</v>
      </c>
      <c r="B13" s="5">
        <v>7.1961839640014373</v>
      </c>
      <c r="C13" s="6">
        <f>$B13*EXP((-1*LN(2)/73.81)*(C$11-$B$11))</f>
        <v>7.1961839640014373</v>
      </c>
      <c r="D13" s="6">
        <f>$B13*EXP((-1*LN(2)/73.81)*(D$11-$B$11))</f>
        <v>6.8674420248103045</v>
      </c>
      <c r="E13" s="6">
        <f>$B13*EXP((-1*LN(2)/73.81)*(E$11-$B$11))</f>
        <v>6.7409806450976166</v>
      </c>
      <c r="F13" s="6">
        <f>$B13*EXP((-1*LN(2)/73.81)*(F$11-$B$11))</f>
        <v>6.5511540385286642</v>
      </c>
      <c r="G13" s="6">
        <f>$B13*EXP((-1*LN(2)/73.81)*(G$11-$B$11))</f>
        <v>6.4292590077410274</v>
      </c>
    </row>
    <row r="14" spans="1:7" ht="0.75" customHeight="1" x14ac:dyDescent="0.25">
      <c r="A14" s="1"/>
      <c r="B14" s="5"/>
      <c r="C14" s="6">
        <f>B14*EXP((-1*LN(2)/73.83)*(C$11-$B$11))</f>
        <v>0</v>
      </c>
      <c r="D14" s="6"/>
      <c r="E14" s="6"/>
      <c r="F14" s="6"/>
      <c r="G14" s="6"/>
    </row>
    <row r="15" spans="1:7" ht="24.75" customHeight="1" x14ac:dyDescent="0.25">
      <c r="A15" s="1" t="s">
        <v>16</v>
      </c>
      <c r="B15" s="8">
        <f t="shared" ref="B15:G15" si="0">SUM(B17:B28)</f>
        <v>283.25487169646095</v>
      </c>
      <c r="C15" s="8">
        <f t="shared" si="0"/>
        <v>283.25487169646095</v>
      </c>
      <c r="D15" s="8">
        <f t="shared" si="0"/>
        <v>296.81417885484973</v>
      </c>
      <c r="E15" s="8">
        <f t="shared" si="0"/>
        <v>302.38243851208085</v>
      </c>
      <c r="F15" s="8">
        <f t="shared" si="0"/>
        <v>311.14428899692842</v>
      </c>
      <c r="G15" s="8">
        <f t="shared" si="0"/>
        <v>317.0434046867789</v>
      </c>
    </row>
    <row r="16" spans="1:7" ht="24.75" customHeight="1" x14ac:dyDescent="0.25">
      <c r="A16" s="1" t="s">
        <v>17</v>
      </c>
      <c r="B16" s="5"/>
      <c r="C16" s="6"/>
      <c r="D16" s="6"/>
      <c r="E16" s="6"/>
      <c r="F16" s="6"/>
      <c r="G16" s="6"/>
    </row>
    <row r="17" spans="1:7" x14ac:dyDescent="0.25">
      <c r="A17" s="1">
        <v>300</v>
      </c>
      <c r="B17" s="7">
        <v>68.805966733601267</v>
      </c>
      <c r="C17" s="8">
        <f t="shared" ref="C17:G22" si="1">$B17*EXP((LN(2)/73.81)*(C$11-$B$11))</f>
        <v>68.805966733601267</v>
      </c>
      <c r="D17" s="8">
        <f t="shared" si="1"/>
        <v>72.099683207683825</v>
      </c>
      <c r="E17" s="8">
        <f t="shared" si="1"/>
        <v>73.452279498243186</v>
      </c>
      <c r="F17" s="8">
        <f t="shared" si="1"/>
        <v>75.580636865495279</v>
      </c>
      <c r="G17" s="8">
        <f t="shared" si="1"/>
        <v>77.01360200915741</v>
      </c>
    </row>
    <row r="18" spans="1:7" x14ac:dyDescent="0.25">
      <c r="A18" s="1">
        <v>295</v>
      </c>
      <c r="B18" s="7">
        <v>36.578653452230917</v>
      </c>
      <c r="C18" s="8">
        <f t="shared" si="1"/>
        <v>36.578653452230917</v>
      </c>
      <c r="D18" s="8">
        <f t="shared" si="1"/>
        <v>38.329660220900209</v>
      </c>
      <c r="E18" s="8">
        <f t="shared" si="1"/>
        <v>39.048727960544106</v>
      </c>
      <c r="F18" s="8">
        <f t="shared" si="1"/>
        <v>40.180206090349934</v>
      </c>
      <c r="G18" s="8">
        <f t="shared" si="1"/>
        <v>40.941999549369029</v>
      </c>
    </row>
    <row r="19" spans="1:7" x14ac:dyDescent="0.25">
      <c r="A19" s="1">
        <v>290</v>
      </c>
      <c r="B19" s="7">
        <v>23.421152530651749</v>
      </c>
      <c r="C19" s="8">
        <f t="shared" si="1"/>
        <v>23.421152530651749</v>
      </c>
      <c r="D19" s="8">
        <f t="shared" si="1"/>
        <v>24.542314540203687</v>
      </c>
      <c r="E19" s="8">
        <f t="shared" si="1"/>
        <v>25.002730482853526</v>
      </c>
      <c r="F19" s="8">
        <f t="shared" si="1"/>
        <v>25.727211002561191</v>
      </c>
      <c r="G19" s="8">
        <f t="shared" si="1"/>
        <v>26.214984037285927</v>
      </c>
    </row>
    <row r="20" spans="1:7" x14ac:dyDescent="0.25">
      <c r="A20" s="1">
        <v>285</v>
      </c>
      <c r="B20" s="7">
        <v>32.37287256806303</v>
      </c>
      <c r="C20" s="8">
        <f t="shared" si="1"/>
        <v>32.37287256806303</v>
      </c>
      <c r="D20" s="8">
        <f t="shared" si="1"/>
        <v>33.922550143318048</v>
      </c>
      <c r="E20" s="8">
        <f t="shared" si="1"/>
        <v>34.558940116877267</v>
      </c>
      <c r="F20" s="8">
        <f t="shared" si="1"/>
        <v>35.560321902502302</v>
      </c>
      <c r="G20" s="8">
        <f t="shared" si="1"/>
        <v>36.23452503040626</v>
      </c>
    </row>
    <row r="21" spans="1:7" x14ac:dyDescent="0.25">
      <c r="A21" s="1">
        <v>280</v>
      </c>
      <c r="B21" s="7">
        <v>52.812856120267369</v>
      </c>
      <c r="C21" s="8">
        <f t="shared" si="1"/>
        <v>52.812856120267369</v>
      </c>
      <c r="D21" s="8">
        <f t="shared" si="1"/>
        <v>55.34098823590449</v>
      </c>
      <c r="E21" s="8">
        <f t="shared" si="1"/>
        <v>56.379189959872619</v>
      </c>
      <c r="F21" s="8">
        <f t="shared" si="1"/>
        <v>58.01283652782795</v>
      </c>
      <c r="G21" s="8">
        <f t="shared" si="1"/>
        <v>59.112726341898799</v>
      </c>
    </row>
    <row r="22" spans="1:7" x14ac:dyDescent="0.25">
      <c r="A22" s="1">
        <v>275</v>
      </c>
      <c r="B22" s="7">
        <v>69.263370291646666</v>
      </c>
      <c r="C22" s="8">
        <f t="shared" si="1"/>
        <v>69.263370291646666</v>
      </c>
      <c r="D22" s="8">
        <f t="shared" si="1"/>
        <v>72.578982506839452</v>
      </c>
      <c r="E22" s="8">
        <f t="shared" si="1"/>
        <v>73.94057049369016</v>
      </c>
      <c r="F22" s="8">
        <f t="shared" si="1"/>
        <v>76.083076608191789</v>
      </c>
      <c r="G22" s="8">
        <f t="shared" si="1"/>
        <v>77.525567718661463</v>
      </c>
    </row>
    <row r="23" spans="1:7" x14ac:dyDescent="0.25">
      <c r="A23" s="1">
        <v>270</v>
      </c>
      <c r="B23" s="7">
        <v>0</v>
      </c>
      <c r="C23" s="8"/>
      <c r="D23" s="8"/>
      <c r="E23" s="8"/>
      <c r="F23" s="8"/>
      <c r="G23" s="8"/>
    </row>
    <row r="24" spans="1:7" x14ac:dyDescent="0.25">
      <c r="A24" s="1">
        <v>265</v>
      </c>
      <c r="B24" s="7">
        <v>0</v>
      </c>
      <c r="C24" s="8"/>
      <c r="D24" s="8"/>
      <c r="E24" s="8"/>
      <c r="F24" s="8"/>
      <c r="G24" s="8"/>
    </row>
    <row r="25" spans="1:7" x14ac:dyDescent="0.25">
      <c r="A25" s="1">
        <v>260</v>
      </c>
      <c r="B25" s="7">
        <v>0</v>
      </c>
      <c r="C25" s="8"/>
      <c r="D25" s="8"/>
      <c r="E25" s="8"/>
      <c r="F25" s="8"/>
      <c r="G25" s="8"/>
    </row>
    <row r="26" spans="1:7" x14ac:dyDescent="0.25">
      <c r="A26" s="1">
        <v>255</v>
      </c>
      <c r="B26" s="7">
        <v>0</v>
      </c>
      <c r="C26" s="8"/>
      <c r="D26" s="8"/>
      <c r="E26" s="8"/>
      <c r="F26" s="8"/>
      <c r="G26" s="8"/>
    </row>
    <row r="27" spans="1:7" x14ac:dyDescent="0.25">
      <c r="A27" s="1">
        <v>250</v>
      </c>
      <c r="B27" s="7">
        <v>0</v>
      </c>
      <c r="C27" s="8"/>
      <c r="D27" s="8"/>
      <c r="E27" s="8"/>
      <c r="F27" s="8"/>
      <c r="G27" s="8"/>
    </row>
    <row r="28" spans="1:7" x14ac:dyDescent="0.25">
      <c r="A28" s="1">
        <v>245</v>
      </c>
      <c r="B28" s="7">
        <v>0</v>
      </c>
      <c r="C28" s="8"/>
      <c r="D28" s="8"/>
      <c r="E28" s="8"/>
      <c r="F28" s="8"/>
      <c r="G28" s="8"/>
    </row>
    <row r="29" spans="1:7" x14ac:dyDescent="0.25">
      <c r="A29" t="s">
        <v>18</v>
      </c>
    </row>
  </sheetData>
  <mergeCells count="1">
    <mergeCell ref="A4:D4"/>
  </mergeCells>
  <pageMargins left="0.75" right="0.75" top="1" bottom="1" header="0.5" footer="0.5"/>
  <pageSetup scale="9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Ferachi</dc:creator>
  <cp:lastModifiedBy>Ericka Chorniak</cp:lastModifiedBy>
  <cp:lastPrinted>2011-09-29T13:04:11Z</cp:lastPrinted>
  <dcterms:created xsi:type="dcterms:W3CDTF">2011-09-29T12:23:19Z</dcterms:created>
  <dcterms:modified xsi:type="dcterms:W3CDTF">2025-08-29T18:09:12Z</dcterms:modified>
</cp:coreProperties>
</file>